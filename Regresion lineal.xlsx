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o_\Desktop\"/>
    </mc:Choice>
  </mc:AlternateContent>
  <xr:revisionPtr revIDLastSave="0" documentId="13_ncr:1_{2C81211F-BF2F-4E05-AF48-47CC3CA8BD79}" xr6:coauthVersionLast="47" xr6:coauthVersionMax="47" xr10:uidLastSave="{00000000-0000-0000-0000-000000000000}"/>
  <bookViews>
    <workbookView xWindow="-110" yWindow="-110" windowWidth="19420" windowHeight="10300" activeTab="5" xr2:uid="{D8BE94C8-2B50-4C20-89CF-220CEB3F7BBC}"/>
  </bookViews>
  <sheets>
    <sheet name="Datos iniciales" sheetId="12" r:id="rId1"/>
    <sheet name="Iteración 1" sheetId="2" r:id="rId2"/>
    <sheet name="Iteración 2" sheetId="3" r:id="rId3"/>
    <sheet name="Iteración 3" sheetId="4" r:id="rId4"/>
    <sheet name="Iteración 4" sheetId="5" r:id="rId5"/>
    <sheet name="Iteración 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I23" i="2"/>
  <c r="E6" i="2"/>
  <c r="E5" i="2"/>
  <c r="E4" i="2"/>
  <c r="E3" i="2"/>
  <c r="E2" i="2"/>
  <c r="G25" i="2"/>
  <c r="G26" i="2"/>
  <c r="G27" i="2"/>
  <c r="A23" i="6" a="1"/>
  <c r="D6" i="6"/>
  <c r="E6" i="6" s="1"/>
  <c r="D5" i="6"/>
  <c r="E5" i="6" s="1"/>
  <c r="D4" i="6"/>
  <c r="E4" i="6" s="1"/>
  <c r="D3" i="6"/>
  <c r="E3" i="6" s="1"/>
  <c r="D2" i="6"/>
  <c r="E2" i="6" s="1"/>
  <c r="A23" i="5" a="1"/>
  <c r="A23" i="5" s="1"/>
  <c r="D6" i="5"/>
  <c r="E6" i="5" s="1"/>
  <c r="D5" i="5"/>
  <c r="E5" i="5" s="1"/>
  <c r="D4" i="5"/>
  <c r="E4" i="5" s="1"/>
  <c r="D3" i="5"/>
  <c r="E3" i="5" s="1"/>
  <c r="D2" i="5"/>
  <c r="E2" i="5" s="1"/>
  <c r="D2" i="4"/>
  <c r="E2" i="4" s="1"/>
  <c r="A23" i="4" a="1"/>
  <c r="A23" i="4" s="1"/>
  <c r="D6" i="4"/>
  <c r="E6" i="4" s="1"/>
  <c r="D5" i="4"/>
  <c r="E5" i="4" s="1"/>
  <c r="D4" i="4"/>
  <c r="E4" i="4" s="1"/>
  <c r="D3" i="4"/>
  <c r="E3" i="4" s="1"/>
  <c r="A23" i="3" a="1"/>
  <c r="A23" i="3" s="1"/>
  <c r="D6" i="3"/>
  <c r="E6" i="3" s="1"/>
  <c r="D5" i="3"/>
  <c r="E5" i="3" s="1"/>
  <c r="D4" i="3"/>
  <c r="E4" i="3" s="1"/>
  <c r="D3" i="3"/>
  <c r="E3" i="3" s="1"/>
  <c r="D2" i="3"/>
  <c r="E2" i="3" s="1"/>
  <c r="G23" i="2"/>
  <c r="G24" i="2"/>
  <c r="A23" i="2" a="1"/>
  <c r="A23" i="2" s="1"/>
  <c r="D2" i="2"/>
  <c r="D6" i="2"/>
  <c r="D5" i="2"/>
  <c r="D4" i="2"/>
  <c r="D3" i="2"/>
  <c r="K23" i="2" l="1"/>
  <c r="K24" i="2"/>
  <c r="F2" i="6"/>
  <c r="G23" i="6"/>
  <c r="F3" i="6"/>
  <c r="G24" i="6"/>
  <c r="F4" i="6"/>
  <c r="G25" i="6"/>
  <c r="F5" i="6"/>
  <c r="G26" i="6"/>
  <c r="G27" i="6"/>
  <c r="F6" i="6"/>
  <c r="A23" i="6"/>
  <c r="F2" i="5"/>
  <c r="G23" i="5"/>
  <c r="F3" i="5"/>
  <c r="G24" i="5"/>
  <c r="I24" i="5" s="1"/>
  <c r="K24" i="5" s="1"/>
  <c r="F4" i="5"/>
  <c r="G25" i="5"/>
  <c r="G26" i="5"/>
  <c r="F5" i="5"/>
  <c r="G27" i="5"/>
  <c r="F6" i="5"/>
  <c r="G23" i="4"/>
  <c r="F2" i="4"/>
  <c r="F3" i="4"/>
  <c r="G24" i="4"/>
  <c r="G25" i="4"/>
  <c r="F4" i="4"/>
  <c r="G26" i="4"/>
  <c r="F5" i="4"/>
  <c r="G27" i="4"/>
  <c r="F6" i="4"/>
  <c r="F4" i="3"/>
  <c r="G25" i="3"/>
  <c r="F2" i="3"/>
  <c r="G23" i="3"/>
  <c r="F3" i="3"/>
  <c r="G24" i="3"/>
  <c r="F5" i="3"/>
  <c r="G26" i="3"/>
  <c r="G27" i="3"/>
  <c r="F6" i="3"/>
  <c r="F2" i="2"/>
  <c r="F6" i="2"/>
  <c r="F5" i="2"/>
  <c r="F4" i="2"/>
  <c r="F3" i="2"/>
  <c r="I23" i="3" l="1"/>
  <c r="K23" i="3" s="1"/>
  <c r="I23" i="5"/>
  <c r="K23" i="5" s="1"/>
  <c r="I23" i="6"/>
  <c r="K23" i="6" s="1"/>
  <c r="I24" i="6"/>
  <c r="K24" i="6" s="1"/>
  <c r="F7" i="6"/>
  <c r="F7" i="5"/>
  <c r="I23" i="4"/>
  <c r="K23" i="4" s="1"/>
  <c r="I24" i="4"/>
  <c r="K24" i="4" s="1"/>
  <c r="F7" i="4"/>
  <c r="I24" i="3"/>
  <c r="K24" i="3" s="1"/>
  <c r="F7" i="3"/>
  <c r="F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<sst xmlns="http://schemas.openxmlformats.org/spreadsheetml/2006/main" count="100" uniqueCount="17">
  <si>
    <t>Punto</t>
  </si>
  <si>
    <t>X</t>
  </si>
  <si>
    <t>y</t>
  </si>
  <si>
    <t>X_b</t>
  </si>
  <si>
    <t>thetha</t>
  </si>
  <si>
    <t>b</t>
  </si>
  <si>
    <t>m</t>
  </si>
  <si>
    <t>unos</t>
  </si>
  <si>
    <t>y^ = mx + b</t>
  </si>
  <si>
    <t>y^</t>
  </si>
  <si>
    <t>error</t>
  </si>
  <si>
    <t>error^2</t>
  </si>
  <si>
    <t>Transpuesta de X_b</t>
  </si>
  <si>
    <t>Iteraciones</t>
  </si>
  <si>
    <t>Learning Rate</t>
  </si>
  <si>
    <t>Gradientes</t>
  </si>
  <si>
    <t>Nuevo valor de thetha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</si>
</sst>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'Iteración 1'!$C$1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'Iteración 1'!$B$2:$B$6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1'!$C$2:$C$6</c:f>
              <c:numCache>
                <c:formatCode>General</c:formatCode>
                <c:ptCount val="5"/>
                <c:pt idx="0">
                  <c:v>11</c:v>
                </c:pt>
                <c:pt idx="1">
                  <c:v>37</c:v>
                </c:pt>
                <c:pt idx="2">
                  <c:v>23</c:v>
                </c:pt>
                <c:pt idx="3">
                  <c:v>28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8-40C4-9192-2A0720CE690F}"/>
            </c:ext>
          </c:extLst>
        </c:ser>
        <c:ser>
          <c:idx val="1"/>
          <c:order val="1"/>
          <c:tx>
            <c:strRef>
              <c:f>'Iteración 1'!$D$1</c:f>
              <c:strCache>
                <c:ptCount val="1"/>
                <c:pt idx="0">
                  <c:v>y^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'Iteración 1'!$B$2:$B$6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1'!$D$2:$D$6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8-40C4-9192-2A0720CE6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286127"/>
        <c:axId val="1522596239"/>
      </c:scatterChart>
      <c:valAx>
        <c:axId val="16732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22596239"/>
        <c:crosses val="autoZero"/>
        <c:crossBetween val="midCat"/>
      </c:valAx>
      <c:valAx>
        <c:axId val="15225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6732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'Iteración 2'!$C$1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'Iteración 2'!$B$2:$B$6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2'!$C$2:$C$6</c:f>
              <c:numCache>
                <c:formatCode>General</c:formatCode>
                <c:ptCount val="5"/>
                <c:pt idx="0">
                  <c:v>11</c:v>
                </c:pt>
                <c:pt idx="1">
                  <c:v>37</c:v>
                </c:pt>
                <c:pt idx="2">
                  <c:v>23</c:v>
                </c:pt>
                <c:pt idx="3">
                  <c:v>28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0-4CA4-9EA0-AC65D50B94CD}"/>
            </c:ext>
          </c:extLst>
        </c:ser>
        <c:ser>
          <c:idx val="1"/>
          <c:order val="1"/>
          <c:tx>
            <c:strRef>
              <c:f>'Iteración 2'!$D$1</c:f>
              <c:strCache>
                <c:ptCount val="1"/>
                <c:pt idx="0">
                  <c:v>y^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'Iteración 2'!$B$2:$B$6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2'!$D$2:$D$6</c:f>
              <c:numCache>
                <c:formatCode>General</c:formatCode>
                <c:ptCount val="5"/>
                <c:pt idx="0">
                  <c:v>3.5019999999999998</c:v>
                </c:pt>
                <c:pt idx="1">
                  <c:v>16.59</c:v>
                </c:pt>
                <c:pt idx="2">
                  <c:v>10.045999999999999</c:v>
                </c:pt>
                <c:pt idx="3">
                  <c:v>13.318</c:v>
                </c:pt>
                <c:pt idx="4">
                  <c:v>6.774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50-4CA4-9EA0-AC65D50B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286127"/>
        <c:axId val="1522596239"/>
      </c:scatterChart>
      <c:valAx>
        <c:axId val="16732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22596239"/>
        <c:crosses val="autoZero"/>
        <c:crossBetween val="midCat"/>
      </c:valAx>
      <c:valAx>
        <c:axId val="15225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6732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'Iteración 3'!$C$1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'Iteración 3'!$B$2:$B$6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3'!$C$2:$C$6</c:f>
              <c:numCache>
                <c:formatCode>General</c:formatCode>
                <c:ptCount val="5"/>
                <c:pt idx="0">
                  <c:v>11</c:v>
                </c:pt>
                <c:pt idx="1">
                  <c:v>37</c:v>
                </c:pt>
                <c:pt idx="2">
                  <c:v>23</c:v>
                </c:pt>
                <c:pt idx="3">
                  <c:v>28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C-4318-87C1-7202CA597F86}"/>
            </c:ext>
          </c:extLst>
        </c:ser>
        <c:ser>
          <c:idx val="1"/>
          <c:order val="1"/>
          <c:tx>
            <c:strRef>
              <c:f>'Iteración 3'!$D$1</c:f>
              <c:strCache>
                <c:ptCount val="1"/>
                <c:pt idx="0">
                  <c:v>y^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'Iteración 3'!$B$2:$B$6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3'!$D$2:$D$6</c:f>
              <c:numCache>
                <c:formatCode>General</c:formatCode>
                <c:ptCount val="5"/>
                <c:pt idx="0">
                  <c:v>5.4362599999999999</c:v>
                </c:pt>
                <c:pt idx="1">
                  <c:v>25.74314</c:v>
                </c:pt>
                <c:pt idx="2">
                  <c:v>15.589700000000001</c:v>
                </c:pt>
                <c:pt idx="3">
                  <c:v>20.666419999999999</c:v>
                </c:pt>
                <c:pt idx="4">
                  <c:v>10.512980000000001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C-4318-87C1-7202CA597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286127"/>
        <c:axId val="1522596239"/>
      </c:scatterChart>
      <c:valAx>
        <c:axId val="16732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22596239"/>
        <c:crosses val="autoZero"/>
        <c:crossBetween val="midCat"/>
      </c:valAx>
      <c:valAx>
        <c:axId val="15225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6732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'Iteración 4'!$C$1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'Iteración 4'!$B$2:$B$6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4'!$C$2:$C$6</c:f>
              <c:numCache>
                <c:formatCode>General</c:formatCode>
                <c:ptCount val="5"/>
                <c:pt idx="0">
                  <c:v>11</c:v>
                </c:pt>
                <c:pt idx="1">
                  <c:v>37</c:v>
                </c:pt>
                <c:pt idx="2">
                  <c:v>23</c:v>
                </c:pt>
                <c:pt idx="3">
                  <c:v>28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0-4C15-AC5E-A58E9ADA0D52}"/>
            </c:ext>
          </c:extLst>
        </c:ser>
        <c:ser>
          <c:idx val="1"/>
          <c:order val="1"/>
          <c:tx>
            <c:strRef>
              <c:f>'Iteración 4'!$D$1</c:f>
              <c:strCache>
                <c:ptCount val="1"/>
                <c:pt idx="0">
                  <c:v>y^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'Iteración 4'!$B$2:$B$6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4'!$D$2:$D$6</c:f>
              <c:numCache>
                <c:formatCode>General</c:formatCode>
                <c:ptCount val="5"/>
                <c:pt idx="0">
                  <c:v>6.5054613999999997</c:v>
                </c:pt>
                <c:pt idx="1">
                  <c:v>30.792734999999997</c:v>
                </c:pt>
                <c:pt idx="2">
                  <c:v>18.649098200000001</c:v>
                </c:pt>
                <c:pt idx="3">
                  <c:v>24.720916599999999</c:v>
                </c:pt>
                <c:pt idx="4">
                  <c:v>12.577279799999999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0-4C15-AC5E-A58E9ADA0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286127"/>
        <c:axId val="1522596239"/>
      </c:scatterChart>
      <c:valAx>
        <c:axId val="16732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22596239"/>
        <c:crosses val="autoZero"/>
        <c:crossBetween val="midCat"/>
      </c:valAx>
      <c:valAx>
        <c:axId val="15225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6732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'Iteración 5'!$C$1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'Iteración 5'!$B$2:$B$6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5'!$C$2:$C$6</c:f>
              <c:numCache>
                <c:formatCode>General</c:formatCode>
                <c:ptCount val="5"/>
                <c:pt idx="0">
                  <c:v>11</c:v>
                </c:pt>
                <c:pt idx="1">
                  <c:v>37</c:v>
                </c:pt>
                <c:pt idx="2">
                  <c:v>23</c:v>
                </c:pt>
                <c:pt idx="3">
                  <c:v>28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3-47CE-8F64-75C5A1E256DF}"/>
            </c:ext>
          </c:extLst>
        </c:ser>
        <c:ser>
          <c:idx val="1"/>
          <c:order val="1"/>
          <c:tx>
            <c:strRef>
              <c:f>'Iteración 5'!$D$1</c:f>
              <c:strCache>
                <c:ptCount val="1"/>
                <c:pt idx="0">
                  <c:v>y^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'Iteración 5'!$B$2:$B$6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</c:numCache>
            </c:numRef>
          </c:xVal>
          <c:yVal>
            <c:numRef>
              <c:f>'Iteración 5'!$D$2:$D$6</c:f>
              <c:numCache>
                <c:formatCode>General</c:formatCode>
                <c:ptCount val="5"/>
                <c:pt idx="0">
                  <c:v>7.097333162</c:v>
                </c:pt>
                <c:pt idx="1">
                  <c:v>33.578057737999998</c:v>
                </c:pt>
                <c:pt idx="2">
                  <c:v>20.337695450000002</c:v>
                </c:pt>
                <c:pt idx="3">
                  <c:v>26.957876594000002</c:v>
                </c:pt>
                <c:pt idx="4">
                  <c:v>13.717514306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73-47CE-8F64-75C5A1E25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286127"/>
        <c:axId val="1522596239"/>
      </c:scatterChart>
      <c:valAx>
        <c:axId val="16732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22596239"/>
        <c:crosses val="autoZero"/>
        <c:crossBetween val="midCat"/>
      </c:valAx>
      <c:valAx>
        <c:axId val="15225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6732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461747</xdr:colOff>
      <xdr:row>5</xdr:row>
      <xdr:rowOff>51271</xdr:rowOff>
    </xdr:from>
    <xdr:to>
      <xdr:col>15</xdr:col>
      <xdr:colOff>141895</xdr:colOff>
      <xdr:row>20</xdr:row>
      <xdr:rowOff>89841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9E5783-9E82-2F50-9D31-85B928EE1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461747</xdr:colOff>
      <xdr:row>5</xdr:row>
      <xdr:rowOff>51271</xdr:rowOff>
    </xdr:from>
    <xdr:to>
      <xdr:col>15</xdr:col>
      <xdr:colOff>141895</xdr:colOff>
      <xdr:row>20</xdr:row>
      <xdr:rowOff>89841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C52FD-6A37-4FA9-ADFE-E490422EF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461747</xdr:colOff>
      <xdr:row>5</xdr:row>
      <xdr:rowOff>51271</xdr:rowOff>
    </xdr:from>
    <xdr:to>
      <xdr:col>15</xdr:col>
      <xdr:colOff>141895</xdr:colOff>
      <xdr:row>20</xdr:row>
      <xdr:rowOff>89841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B1F71-B3D2-4A0B-B872-5FF5E6675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461747</xdr:colOff>
      <xdr:row>5</xdr:row>
      <xdr:rowOff>51271</xdr:rowOff>
    </xdr:from>
    <xdr:to>
      <xdr:col>15</xdr:col>
      <xdr:colOff>141895</xdr:colOff>
      <xdr:row>20</xdr:row>
      <xdr:rowOff>89841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D6F37-CE4E-42C4-B393-6CFF4ED33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461747</xdr:colOff>
      <xdr:row>5</xdr:row>
      <xdr:rowOff>51271</xdr:rowOff>
    </xdr:from>
    <xdr:to>
      <xdr:col>15</xdr:col>
      <xdr:colOff>141895</xdr:colOff>
      <xdr:row>20</xdr:row>
      <xdr:rowOff>89841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6D900-2BF8-4044-BA48-5DA9C9A7B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57AA-25B4-4967-8EBE-B60F05375010}">
  <dimension ref="A1:C9"/>
  <sheetViews>
    <sheetView workbookViewId="0">
      <selection activeCell="A8" sqref="A8:C9"/>
    </sheetView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>
        <v>1</v>
      </c>
      <c r="B2" s="2">
        <v>2</v>
      </c>
      <c r="C2" s="2">
        <v>11</v>
      </c>
    </row>
    <row r="3" spans="1:3" x14ac:dyDescent="0.35">
      <c r="A3" s="2">
        <v>2</v>
      </c>
      <c r="B3" s="2">
        <v>10</v>
      </c>
      <c r="C3" s="2">
        <v>37</v>
      </c>
    </row>
    <row r="4" spans="1:3" x14ac:dyDescent="0.35">
      <c r="A4" s="2">
        <v>3</v>
      </c>
      <c r="B4" s="2">
        <v>6</v>
      </c>
      <c r="C4" s="2">
        <v>23</v>
      </c>
    </row>
    <row r="5" spans="1:3" x14ac:dyDescent="0.35">
      <c r="A5" s="2">
        <v>4</v>
      </c>
      <c r="B5" s="2">
        <v>8</v>
      </c>
      <c r="C5" s="2">
        <v>28</v>
      </c>
    </row>
    <row r="6" spans="1:3" x14ac:dyDescent="0.35">
      <c r="A6" s="2">
        <v>5</v>
      </c>
      <c r="B6" s="2">
        <v>4</v>
      </c>
      <c r="C6" s="2">
        <v>16</v>
      </c>
    </row>
    <row r="8" spans="1:3" x14ac:dyDescent="0.35">
      <c r="A8" s="8" t="s">
        <v>13</v>
      </c>
      <c r="B8" s="8"/>
      <c r="C8" s="6">
        <v>5</v>
      </c>
    </row>
    <row r="9" spans="1:3" x14ac:dyDescent="0.35">
      <c r="A9" s="8" t="s">
        <v>14</v>
      </c>
      <c r="B9" s="8"/>
      <c r="C9" s="6">
        <v>5.0000000000000001E-3</v>
      </c>
    </row>
  </sheetData>
  <mergeCells count="2">
    <mergeCell ref="A8:B8"/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76A4-D088-45BB-AB92-6E5FE635A7E8}">
  <dimension ref="A1:K27"/>
  <sheetViews>
    <sheetView topLeftCell="A9" zoomScale="114" zoomScaleNormal="81" workbookViewId="0">
      <selection activeCell="A19" sqref="A19:C20"/>
    </sheetView>
  </sheetViews>
  <sheetFormatPr defaultRowHeight="14.5" x14ac:dyDescent="0.35"/>
  <cols>
    <col min="6" max="6" width="12.1796875" customWidth="1"/>
    <col min="11" max="11" width="19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I1" s="4" t="s">
        <v>8</v>
      </c>
    </row>
    <row r="2" spans="1:9" x14ac:dyDescent="0.35">
      <c r="A2" s="2">
        <v>1</v>
      </c>
      <c r="B2" s="2">
        <v>2</v>
      </c>
      <c r="C2" s="2">
        <v>11</v>
      </c>
      <c r="D2" s="1">
        <f>(A11*D$10)+(B11*D$11)</f>
        <v>0</v>
      </c>
      <c r="E2" s="1">
        <f>D2-C2</f>
        <v>-11</v>
      </c>
      <c r="F2" s="1">
        <f>E2*E2</f>
        <v>121</v>
      </c>
    </row>
    <row r="3" spans="1:9" x14ac:dyDescent="0.35">
      <c r="A3" s="2">
        <v>2</v>
      </c>
      <c r="B3" s="2">
        <v>10</v>
      </c>
      <c r="C3" s="2">
        <v>37</v>
      </c>
      <c r="D3" s="1">
        <f t="shared" ref="D3:D6" si="0">(A12*D$10)+(B12*D$11)</f>
        <v>0</v>
      </c>
      <c r="E3" s="1">
        <f>D3-C3</f>
        <v>-37</v>
      </c>
      <c r="F3" s="1">
        <f t="shared" ref="F3:F6" si="1">E3*E3</f>
        <v>1369</v>
      </c>
    </row>
    <row r="4" spans="1:9" x14ac:dyDescent="0.35">
      <c r="A4" s="2">
        <v>3</v>
      </c>
      <c r="B4" s="2">
        <v>6</v>
      </c>
      <c r="C4" s="2">
        <v>23</v>
      </c>
      <c r="D4" s="1">
        <f t="shared" si="0"/>
        <v>0</v>
      </c>
      <c r="E4" s="1">
        <f>D4-C4</f>
        <v>-23</v>
      </c>
      <c r="F4" s="1">
        <f t="shared" si="1"/>
        <v>529</v>
      </c>
    </row>
    <row r="5" spans="1:9" x14ac:dyDescent="0.35">
      <c r="A5" s="2">
        <v>4</v>
      </c>
      <c r="B5" s="2">
        <v>8</v>
      </c>
      <c r="C5" s="2">
        <v>28</v>
      </c>
      <c r="D5" s="1">
        <f t="shared" si="0"/>
        <v>0</v>
      </c>
      <c r="E5" s="1">
        <f>D5-C5</f>
        <v>-28</v>
      </c>
      <c r="F5" s="1">
        <f t="shared" si="1"/>
        <v>784</v>
      </c>
    </row>
    <row r="6" spans="1:9" x14ac:dyDescent="0.35">
      <c r="A6" s="2">
        <v>5</v>
      </c>
      <c r="B6" s="2">
        <v>4</v>
      </c>
      <c r="C6" s="2">
        <v>16</v>
      </c>
      <c r="D6" s="1">
        <f t="shared" si="0"/>
        <v>0</v>
      </c>
      <c r="E6" s="1">
        <f>D6-C6</f>
        <v>-16</v>
      </c>
      <c r="F6" s="1">
        <f t="shared" si="1"/>
        <v>256</v>
      </c>
    </row>
    <row r="7" spans="1:9" x14ac:dyDescent="0.35">
      <c r="F7">
        <f>SUM(F2:F6)/5</f>
        <v>611.79999999999995</v>
      </c>
    </row>
    <row r="9" spans="1:9" x14ac:dyDescent="0.35">
      <c r="A9" s="7" t="s">
        <v>3</v>
      </c>
      <c r="B9" s="7"/>
      <c r="D9" s="5" t="s">
        <v>4</v>
      </c>
    </row>
    <row r="10" spans="1:9" x14ac:dyDescent="0.35">
      <c r="A10" s="2" t="s">
        <v>7</v>
      </c>
      <c r="B10" s="2" t="s">
        <v>1</v>
      </c>
      <c r="D10" s="1">
        <v>0</v>
      </c>
      <c r="E10" t="s">
        <v>5</v>
      </c>
    </row>
    <row r="11" spans="1:9" x14ac:dyDescent="0.35">
      <c r="A11" s="2">
        <v>1</v>
      </c>
      <c r="B11" s="2">
        <v>2</v>
      </c>
      <c r="D11" s="1">
        <v>0</v>
      </c>
      <c r="E11" t="s">
        <v>6</v>
      </c>
    </row>
    <row r="12" spans="1:9" x14ac:dyDescent="0.35">
      <c r="A12" s="2">
        <v>1</v>
      </c>
      <c r="B12" s="2">
        <v>10</v>
      </c>
    </row>
    <row r="13" spans="1:9" x14ac:dyDescent="0.35">
      <c r="A13" s="2">
        <v>1</v>
      </c>
      <c r="B13" s="2">
        <v>6</v>
      </c>
    </row>
    <row r="14" spans="1:9" x14ac:dyDescent="0.35">
      <c r="A14" s="2">
        <v>1</v>
      </c>
      <c r="B14" s="2">
        <v>8</v>
      </c>
    </row>
    <row r="15" spans="1:9" x14ac:dyDescent="0.35">
      <c r="A15" s="2">
        <v>1</v>
      </c>
      <c r="B15" s="2">
        <v>4</v>
      </c>
    </row>
    <row r="19" spans="1:11" x14ac:dyDescent="0.35">
      <c r="A19" s="8" t="s">
        <v>13</v>
      </c>
      <c r="B19" s="8"/>
      <c r="C19" s="6">
        <v>5</v>
      </c>
    </row>
    <row r="20" spans="1:11" x14ac:dyDescent="0.35">
      <c r="A20" s="8" t="s">
        <v>14</v>
      </c>
      <c r="B20" s="8"/>
      <c r="C20" s="6">
        <v>5.0000000000000001E-3</v>
      </c>
    </row>
    <row r="22" spans="1:11" x14ac:dyDescent="0.35">
      <c r="A22" s="7" t="s">
        <v>12</v>
      </c>
      <c r="B22" s="7"/>
      <c r="C22" s="7"/>
      <c r="D22" s="7"/>
      <c r="E22" s="7"/>
      <c r="G22" s="3" t="s">
        <v>10</v>
      </c>
      <c r="I22" s="5" t="s">
        <v>15</v>
      </c>
      <c r="K22" s="5" t="s">
        <v>16</v>
      </c>
    </row>
    <row r="23" spans="1:11" x14ac:dyDescent="0.35">
      <c r="A23" s="1" cm="1">
        <f t="array" ref="A23:E24">TRANSPOSE(A11:B15)</f>
        <v>1</v>
      </c>
      <c r="B23" s="1">
        <v>1</v>
      </c>
      <c r="C23" s="1">
        <v>1</v>
      </c>
      <c r="D23" s="1">
        <v>1</v>
      </c>
      <c r="E23" s="1">
        <v>1</v>
      </c>
      <c r="G23" s="1">
        <f>E2</f>
        <v>-11</v>
      </c>
      <c r="I23" s="1">
        <f>((A23*$G$23)+(B23*$G$24)+(C23*$G$25)+(D23*$G$26)+(E23*$G$27))*2/5</f>
        <v>-46</v>
      </c>
      <c r="K23" s="1">
        <f>D10-C20*I23</f>
        <v>0.23</v>
      </c>
    </row>
    <row r="24" spans="1:11" x14ac:dyDescent="0.35">
      <c r="A24" s="1">
        <v>2</v>
      </c>
      <c r="B24" s="1">
        <v>10</v>
      </c>
      <c r="C24" s="1">
        <v>6</v>
      </c>
      <c r="D24" s="1">
        <v>8</v>
      </c>
      <c r="E24" s="1">
        <v>4</v>
      </c>
      <c r="G24" s="1">
        <f t="shared" ref="G24:G27" si="2">E3</f>
        <v>-37</v>
      </c>
      <c r="I24" s="1">
        <f>((A24*$G$23)+(B24*$G$24)+(C24*$G$25)+(D24*$G$26)+(E24*$G$27))*2/5</f>
        <v>-327.2</v>
      </c>
      <c r="K24" s="1">
        <f>D11-C20*I24</f>
        <v>1.6359999999999999</v>
      </c>
    </row>
    <row r="25" spans="1:11" x14ac:dyDescent="0.35">
      <c r="G25" s="1">
        <f t="shared" si="2"/>
        <v>-23</v>
      </c>
    </row>
    <row r="26" spans="1:11" x14ac:dyDescent="0.35">
      <c r="G26" s="1">
        <f t="shared" si="2"/>
        <v>-28</v>
      </c>
    </row>
    <row r="27" spans="1:11" x14ac:dyDescent="0.35">
      <c r="G27" s="1">
        <f t="shared" si="2"/>
        <v>-16</v>
      </c>
    </row>
  </sheetData>
  <mergeCells count="4">
    <mergeCell ref="A9:B9"/>
    <mergeCell ref="A22:E22"/>
    <mergeCell ref="A19:B19"/>
    <mergeCell ref="A20:B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1BFA-B452-4BA3-982E-A5A54FE60B81}">
  <dimension ref="A1:K27"/>
  <sheetViews>
    <sheetView zoomScale="114" zoomScaleNormal="81" workbookViewId="0">
      <selection activeCell="D11" sqref="D11"/>
    </sheetView>
  </sheetViews>
  <sheetFormatPr defaultRowHeight="14.5" x14ac:dyDescent="0.35"/>
  <cols>
    <col min="6" max="6" width="12.1796875" customWidth="1"/>
    <col min="11" max="11" width="19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I1" s="4" t="s">
        <v>8</v>
      </c>
    </row>
    <row r="2" spans="1:9" x14ac:dyDescent="0.35">
      <c r="A2" s="2">
        <v>1</v>
      </c>
      <c r="B2" s="2">
        <v>2</v>
      </c>
      <c r="C2" s="2">
        <v>11</v>
      </c>
      <c r="D2" s="1">
        <f>(A11*D$10)+(B11*D$11)</f>
        <v>3.5019999999999998</v>
      </c>
      <c r="E2" s="1">
        <f>D2-C2</f>
        <v>-7.4980000000000002</v>
      </c>
      <c r="F2" s="1">
        <f>E2*E2</f>
        <v>56.220004000000003</v>
      </c>
    </row>
    <row r="3" spans="1:9" x14ac:dyDescent="0.35">
      <c r="A3" s="2">
        <v>2</v>
      </c>
      <c r="B3" s="2">
        <v>10</v>
      </c>
      <c r="C3" s="2">
        <v>37</v>
      </c>
      <c r="D3" s="1">
        <f t="shared" ref="D3:D6" si="0">(A12*D$10)+(B12*D$11)</f>
        <v>16.59</v>
      </c>
      <c r="E3" s="1">
        <f>D3-C3</f>
        <v>-20.41</v>
      </c>
      <c r="F3" s="1">
        <f t="shared" ref="F3:F6" si="1">E3*E3</f>
        <v>416.56810000000002</v>
      </c>
    </row>
    <row r="4" spans="1:9" x14ac:dyDescent="0.35">
      <c r="A4" s="2">
        <v>3</v>
      </c>
      <c r="B4" s="2">
        <v>6</v>
      </c>
      <c r="C4" s="2">
        <v>23</v>
      </c>
      <c r="D4" s="1">
        <f t="shared" si="0"/>
        <v>10.045999999999999</v>
      </c>
      <c r="E4" s="1">
        <f>D4-C4</f>
        <v>-12.954000000000001</v>
      </c>
      <c r="F4" s="1">
        <f t="shared" si="1"/>
        <v>167.806116</v>
      </c>
    </row>
    <row r="5" spans="1:9" x14ac:dyDescent="0.35">
      <c r="A5" s="2">
        <v>4</v>
      </c>
      <c r="B5" s="2">
        <v>8</v>
      </c>
      <c r="C5" s="2">
        <v>28</v>
      </c>
      <c r="D5" s="1">
        <f t="shared" si="0"/>
        <v>13.318</v>
      </c>
      <c r="E5" s="1">
        <f>D5-C5</f>
        <v>-14.682</v>
      </c>
      <c r="F5" s="1">
        <f t="shared" si="1"/>
        <v>215.56112400000001</v>
      </c>
    </row>
    <row r="6" spans="1:9" x14ac:dyDescent="0.35">
      <c r="A6" s="2">
        <v>5</v>
      </c>
      <c r="B6" s="2">
        <v>4</v>
      </c>
      <c r="C6" s="2">
        <v>16</v>
      </c>
      <c r="D6" s="1">
        <f t="shared" si="0"/>
        <v>6.774</v>
      </c>
      <c r="E6" s="1">
        <f>D6-C6</f>
        <v>-9.2259999999999991</v>
      </c>
      <c r="F6" s="1">
        <f t="shared" si="1"/>
        <v>85.119075999999978</v>
      </c>
    </row>
    <row r="7" spans="1:9" x14ac:dyDescent="0.35">
      <c r="F7">
        <f>SUM(F2:F6)/5</f>
        <v>188.254884</v>
      </c>
    </row>
    <row r="9" spans="1:9" x14ac:dyDescent="0.35">
      <c r="A9" s="7" t="s">
        <v>3</v>
      </c>
      <c r="B9" s="7"/>
      <c r="D9" s="5" t="s">
        <v>4</v>
      </c>
    </row>
    <row r="10" spans="1:9" x14ac:dyDescent="0.35">
      <c r="A10" s="2" t="s">
        <v>7</v>
      </c>
      <c r="B10" s="2" t="s">
        <v>1</v>
      </c>
      <c r="D10" s="1">
        <v>0.23</v>
      </c>
      <c r="E10" t="s">
        <v>5</v>
      </c>
    </row>
    <row r="11" spans="1:9" x14ac:dyDescent="0.35">
      <c r="A11" s="2">
        <v>1</v>
      </c>
      <c r="B11" s="2">
        <v>2</v>
      </c>
      <c r="D11" s="1">
        <v>1.6359999999999999</v>
      </c>
      <c r="E11" t="s">
        <v>6</v>
      </c>
    </row>
    <row r="12" spans="1:9" x14ac:dyDescent="0.35">
      <c r="A12" s="2">
        <v>1</v>
      </c>
      <c r="B12" s="2">
        <v>10</v>
      </c>
    </row>
    <row r="13" spans="1:9" x14ac:dyDescent="0.35">
      <c r="A13" s="2">
        <v>1</v>
      </c>
      <c r="B13" s="2">
        <v>6</v>
      </c>
    </row>
    <row r="14" spans="1:9" x14ac:dyDescent="0.35">
      <c r="A14" s="2">
        <v>1</v>
      </c>
      <c r="B14" s="2">
        <v>8</v>
      </c>
    </row>
    <row r="15" spans="1:9" x14ac:dyDescent="0.35">
      <c r="A15" s="2">
        <v>1</v>
      </c>
      <c r="B15" s="2">
        <v>4</v>
      </c>
    </row>
    <row r="19" spans="1:11" x14ac:dyDescent="0.35">
      <c r="A19" s="8" t="s">
        <v>13</v>
      </c>
      <c r="B19" s="8"/>
      <c r="C19" s="6">
        <v>5</v>
      </c>
    </row>
    <row r="20" spans="1:11" x14ac:dyDescent="0.35">
      <c r="A20" s="8" t="s">
        <v>14</v>
      </c>
      <c r="B20" s="8"/>
      <c r="C20" s="6">
        <v>5.0000000000000001E-3</v>
      </c>
    </row>
    <row r="22" spans="1:11" x14ac:dyDescent="0.35">
      <c r="A22" s="7" t="s">
        <v>12</v>
      </c>
      <c r="B22" s="7"/>
      <c r="C22" s="7"/>
      <c r="D22" s="7"/>
      <c r="E22" s="7"/>
      <c r="G22" s="3" t="s">
        <v>10</v>
      </c>
      <c r="I22" s="5" t="s">
        <v>15</v>
      </c>
      <c r="K22" s="5" t="s">
        <v>16</v>
      </c>
    </row>
    <row r="23" spans="1:11" x14ac:dyDescent="0.35">
      <c r="A23" s="1" cm="1">
        <f t="array" ref="A23:E24">TRANSPOSE(A11:B15)</f>
        <v>1</v>
      </c>
      <c r="B23" s="1">
        <v>1</v>
      </c>
      <c r="C23" s="1">
        <v>1</v>
      </c>
      <c r="D23" s="1">
        <v>1</v>
      </c>
      <c r="E23" s="1">
        <v>1</v>
      </c>
      <c r="G23" s="1">
        <f>E2</f>
        <v>-7.4980000000000002</v>
      </c>
      <c r="I23" s="1">
        <f>((A23*$G$23)+(B23*$G$24)+(C23*$G$25)+(D23*$G$26)+(E23*$G$27))*2/5</f>
        <v>-25.908000000000005</v>
      </c>
      <c r="K23" s="1">
        <f>D10-C20*I23</f>
        <v>0.35954000000000003</v>
      </c>
    </row>
    <row r="24" spans="1:11" x14ac:dyDescent="0.35">
      <c r="A24" s="1">
        <v>2</v>
      </c>
      <c r="B24" s="1">
        <v>10</v>
      </c>
      <c r="C24" s="1">
        <v>6</v>
      </c>
      <c r="D24" s="1">
        <v>8</v>
      </c>
      <c r="E24" s="1">
        <v>4</v>
      </c>
      <c r="G24" s="1">
        <f t="shared" ref="G24:G27" si="2">E3</f>
        <v>-20.41</v>
      </c>
      <c r="I24" s="1">
        <f>((A24*$G$23)+(B24*$G$24)+(C24*$G$25)+(D24*$G$26)+(E24*$G$27))*2/5</f>
        <v>-180.47200000000001</v>
      </c>
      <c r="K24" s="1">
        <f>D11-C20*I24</f>
        <v>2.5383599999999999</v>
      </c>
    </row>
    <row r="25" spans="1:11" x14ac:dyDescent="0.35">
      <c r="G25" s="1">
        <f t="shared" si="2"/>
        <v>-12.954000000000001</v>
      </c>
    </row>
    <row r="26" spans="1:11" x14ac:dyDescent="0.35">
      <c r="G26" s="1">
        <f t="shared" si="2"/>
        <v>-14.682</v>
      </c>
    </row>
    <row r="27" spans="1:11" x14ac:dyDescent="0.35">
      <c r="G27" s="1">
        <f t="shared" si="2"/>
        <v>-9.2259999999999991</v>
      </c>
    </row>
  </sheetData>
  <mergeCells count="4">
    <mergeCell ref="A9:B9"/>
    <mergeCell ref="A19:B19"/>
    <mergeCell ref="A20:B20"/>
    <mergeCell ref="A22:E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5A43-0CDD-4DE5-9B3A-DFAC7FE50A84}">
  <dimension ref="A1:K27"/>
  <sheetViews>
    <sheetView zoomScale="114" zoomScaleNormal="81" workbookViewId="0">
      <selection activeCell="D10" sqref="D10:D11"/>
    </sheetView>
  </sheetViews>
  <sheetFormatPr defaultRowHeight="14.5" x14ac:dyDescent="0.35"/>
  <cols>
    <col min="6" max="6" width="12.1796875" customWidth="1"/>
    <col min="11" max="11" width="19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I1" s="4" t="s">
        <v>8</v>
      </c>
    </row>
    <row r="2" spans="1:9" x14ac:dyDescent="0.35">
      <c r="A2" s="2">
        <v>1</v>
      </c>
      <c r="B2" s="2">
        <v>2</v>
      </c>
      <c r="C2" s="2">
        <v>11</v>
      </c>
      <c r="D2" s="1">
        <f>(A11*D$10)+(B11*D$11)</f>
        <v>5.4362599999999999</v>
      </c>
      <c r="E2" s="1">
        <f>D2-C2</f>
        <v>-5.5637400000000001</v>
      </c>
      <c r="F2" s="1">
        <f>E2*E2</f>
        <v>30.955202787600001</v>
      </c>
    </row>
    <row r="3" spans="1:9" x14ac:dyDescent="0.35">
      <c r="A3" s="2">
        <v>2</v>
      </c>
      <c r="B3" s="2">
        <v>10</v>
      </c>
      <c r="C3" s="2">
        <v>37</v>
      </c>
      <c r="D3" s="1">
        <f t="shared" ref="D3:D6" si="0">(A12*D$10)+(B12*D$11)</f>
        <v>25.74314</v>
      </c>
      <c r="E3" s="1">
        <f>D3-C3</f>
        <v>-11.25686</v>
      </c>
      <c r="F3" s="1">
        <f t="shared" ref="F3:F6" si="1">E3*E3</f>
        <v>126.71689705959999</v>
      </c>
    </row>
    <row r="4" spans="1:9" x14ac:dyDescent="0.35">
      <c r="A4" s="2">
        <v>3</v>
      </c>
      <c r="B4" s="2">
        <v>6</v>
      </c>
      <c r="C4" s="2">
        <v>23</v>
      </c>
      <c r="D4" s="1">
        <f t="shared" si="0"/>
        <v>15.589700000000001</v>
      </c>
      <c r="E4" s="1">
        <f>D4-C4</f>
        <v>-7.4102999999999994</v>
      </c>
      <c r="F4" s="1">
        <f t="shared" si="1"/>
        <v>54.912546089999992</v>
      </c>
    </row>
    <row r="5" spans="1:9" x14ac:dyDescent="0.35">
      <c r="A5" s="2">
        <v>4</v>
      </c>
      <c r="B5" s="2">
        <v>8</v>
      </c>
      <c r="C5" s="2">
        <v>28</v>
      </c>
      <c r="D5" s="1">
        <f t="shared" si="0"/>
        <v>20.666419999999999</v>
      </c>
      <c r="E5" s="1">
        <f>D5-C5</f>
        <v>-7.3335800000000013</v>
      </c>
      <c r="F5" s="1">
        <f t="shared" si="1"/>
        <v>53.781395616400019</v>
      </c>
    </row>
    <row r="6" spans="1:9" x14ac:dyDescent="0.35">
      <c r="A6" s="2">
        <v>5</v>
      </c>
      <c r="B6" s="2">
        <v>4</v>
      </c>
      <c r="C6" s="2">
        <v>16</v>
      </c>
      <c r="D6" s="1">
        <f t="shared" si="0"/>
        <v>10.512980000000001</v>
      </c>
      <c r="E6" s="1">
        <f>D6-C6</f>
        <v>-5.4870199999999993</v>
      </c>
      <c r="F6" s="1">
        <f t="shared" si="1"/>
        <v>30.107388480399994</v>
      </c>
    </row>
    <row r="7" spans="1:9" x14ac:dyDescent="0.35">
      <c r="F7">
        <f>SUM(F2:F6)/5</f>
        <v>59.294686006799999</v>
      </c>
    </row>
    <row r="9" spans="1:9" x14ac:dyDescent="0.35">
      <c r="A9" s="7" t="s">
        <v>3</v>
      </c>
      <c r="B9" s="7"/>
      <c r="D9" s="5" t="s">
        <v>4</v>
      </c>
    </row>
    <row r="10" spans="1:9" x14ac:dyDescent="0.35">
      <c r="A10" s="2" t="s">
        <v>7</v>
      </c>
      <c r="B10" s="2" t="s">
        <v>1</v>
      </c>
      <c r="D10" s="1">
        <v>0.35954000000000003</v>
      </c>
      <c r="E10" t="s">
        <v>5</v>
      </c>
    </row>
    <row r="11" spans="1:9" x14ac:dyDescent="0.35">
      <c r="A11" s="2">
        <v>1</v>
      </c>
      <c r="B11" s="2">
        <v>2</v>
      </c>
      <c r="D11" s="1">
        <v>2.5383599999999999</v>
      </c>
      <c r="E11" t="s">
        <v>6</v>
      </c>
    </row>
    <row r="12" spans="1:9" x14ac:dyDescent="0.35">
      <c r="A12" s="2">
        <v>1</v>
      </c>
      <c r="B12" s="2">
        <v>10</v>
      </c>
    </row>
    <row r="13" spans="1:9" x14ac:dyDescent="0.35">
      <c r="A13" s="2">
        <v>1</v>
      </c>
      <c r="B13" s="2">
        <v>6</v>
      </c>
    </row>
    <row r="14" spans="1:9" x14ac:dyDescent="0.35">
      <c r="A14" s="2">
        <v>1</v>
      </c>
      <c r="B14" s="2">
        <v>8</v>
      </c>
    </row>
    <row r="15" spans="1:9" x14ac:dyDescent="0.35">
      <c r="A15" s="2">
        <v>1</v>
      </c>
      <c r="B15" s="2">
        <v>4</v>
      </c>
    </row>
    <row r="19" spans="1:11" x14ac:dyDescent="0.35">
      <c r="A19" s="8" t="s">
        <v>13</v>
      </c>
      <c r="B19" s="8"/>
      <c r="C19" s="6">
        <v>5</v>
      </c>
    </row>
    <row r="20" spans="1:11" x14ac:dyDescent="0.35">
      <c r="A20" s="8" t="s">
        <v>14</v>
      </c>
      <c r="B20" s="8"/>
      <c r="C20" s="6">
        <v>5.0000000000000001E-3</v>
      </c>
    </row>
    <row r="22" spans="1:11" x14ac:dyDescent="0.35">
      <c r="A22" s="7" t="s">
        <v>12</v>
      </c>
      <c r="B22" s="7"/>
      <c r="C22" s="7"/>
      <c r="D22" s="7"/>
      <c r="E22" s="7"/>
      <c r="G22" s="3" t="s">
        <v>10</v>
      </c>
      <c r="I22" s="5" t="s">
        <v>15</v>
      </c>
      <c r="K22" s="5" t="s">
        <v>16</v>
      </c>
    </row>
    <row r="23" spans="1:11" x14ac:dyDescent="0.35">
      <c r="A23" s="1" cm="1">
        <f t="array" ref="A23:E24">TRANSPOSE(A11:B15)</f>
        <v>1</v>
      </c>
      <c r="B23" s="1">
        <v>1</v>
      </c>
      <c r="C23" s="1">
        <v>1</v>
      </c>
      <c r="D23" s="1">
        <v>1</v>
      </c>
      <c r="E23" s="1">
        <v>1</v>
      </c>
      <c r="G23" s="1">
        <f>E2</f>
        <v>-5.5637400000000001</v>
      </c>
      <c r="I23" s="1">
        <f>((A23*$G$23)+(B23*$G$24)+(C23*$G$25)+(D23*$G$26)+(E23*$G$27))*2/5</f>
        <v>-14.820599999999999</v>
      </c>
      <c r="K23" s="1">
        <f>D10-C20*I23</f>
        <v>0.433643</v>
      </c>
    </row>
    <row r="24" spans="1:11" x14ac:dyDescent="0.35">
      <c r="A24" s="1">
        <v>2</v>
      </c>
      <c r="B24" s="1">
        <v>10</v>
      </c>
      <c r="C24" s="1">
        <v>6</v>
      </c>
      <c r="D24" s="1">
        <v>8</v>
      </c>
      <c r="E24" s="1">
        <v>4</v>
      </c>
      <c r="G24" s="1">
        <f t="shared" ref="G24:G27" si="2">E3</f>
        <v>-11.25686</v>
      </c>
      <c r="I24" s="1">
        <f>((A24*$G$23)+(B24*$G$24)+(C24*$G$25)+(D24*$G$26)+(E24*$G$27))*2/5</f>
        <v>-99.509840000000011</v>
      </c>
      <c r="K24" s="1">
        <f>D11-C20*I24</f>
        <v>3.0359091999999999</v>
      </c>
    </row>
    <row r="25" spans="1:11" x14ac:dyDescent="0.35">
      <c r="G25" s="1">
        <f t="shared" si="2"/>
        <v>-7.4102999999999994</v>
      </c>
    </row>
    <row r="26" spans="1:11" x14ac:dyDescent="0.35">
      <c r="G26" s="1">
        <f t="shared" si="2"/>
        <v>-7.3335800000000013</v>
      </c>
    </row>
    <row r="27" spans="1:11" x14ac:dyDescent="0.35">
      <c r="G27" s="1">
        <f t="shared" si="2"/>
        <v>-5.4870199999999993</v>
      </c>
    </row>
  </sheetData>
  <mergeCells count="4">
    <mergeCell ref="A9:B9"/>
    <mergeCell ref="A19:B19"/>
    <mergeCell ref="A20:B20"/>
    <mergeCell ref="A22:E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7334-2B27-4F80-B30C-FEE649E2A614}">
  <dimension ref="A1:K27"/>
  <sheetViews>
    <sheetView zoomScale="114" zoomScaleNormal="81" workbookViewId="0">
      <selection activeCell="D12" sqref="D12"/>
    </sheetView>
  </sheetViews>
  <sheetFormatPr defaultRowHeight="14.5" x14ac:dyDescent="0.35"/>
  <cols>
    <col min="6" max="6" width="12.1796875" customWidth="1"/>
    <col min="11" max="11" width="19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I1" s="4" t="s">
        <v>8</v>
      </c>
    </row>
    <row r="2" spans="1:9" x14ac:dyDescent="0.35">
      <c r="A2" s="2">
        <v>1</v>
      </c>
      <c r="B2" s="2">
        <v>2</v>
      </c>
      <c r="C2" s="2">
        <v>11</v>
      </c>
      <c r="D2" s="1">
        <f>(A11*D$10)+(B11*D$11)</f>
        <v>6.5054613999999997</v>
      </c>
      <c r="E2" s="1">
        <f>D2-C2</f>
        <v>-4.4945386000000003</v>
      </c>
      <c r="F2" s="1">
        <f>E2*E2</f>
        <v>20.200877226889961</v>
      </c>
    </row>
    <row r="3" spans="1:9" x14ac:dyDescent="0.35">
      <c r="A3" s="2">
        <v>2</v>
      </c>
      <c r="B3" s="2">
        <v>10</v>
      </c>
      <c r="C3" s="2">
        <v>37</v>
      </c>
      <c r="D3" s="1">
        <f t="shared" ref="D3:D6" si="0">(A12*D$10)+(B12*D$11)</f>
        <v>30.792734999999997</v>
      </c>
      <c r="E3" s="1">
        <f>D3-C3</f>
        <v>-6.2072650000000031</v>
      </c>
      <c r="F3" s="1">
        <f t="shared" ref="F3:F6" si="1">E3*E3</f>
        <v>38.530138780225037</v>
      </c>
    </row>
    <row r="4" spans="1:9" x14ac:dyDescent="0.35">
      <c r="A4" s="2">
        <v>3</v>
      </c>
      <c r="B4" s="2">
        <v>6</v>
      </c>
      <c r="C4" s="2">
        <v>23</v>
      </c>
      <c r="D4" s="1">
        <f t="shared" si="0"/>
        <v>18.649098200000001</v>
      </c>
      <c r="E4" s="1">
        <f>D4-C4</f>
        <v>-4.350901799999999</v>
      </c>
      <c r="F4" s="1">
        <f t="shared" si="1"/>
        <v>18.930346473243233</v>
      </c>
    </row>
    <row r="5" spans="1:9" x14ac:dyDescent="0.35">
      <c r="A5" s="2">
        <v>4</v>
      </c>
      <c r="B5" s="2">
        <v>8</v>
      </c>
      <c r="C5" s="2">
        <v>28</v>
      </c>
      <c r="D5" s="1">
        <f t="shared" si="0"/>
        <v>24.720916599999999</v>
      </c>
      <c r="E5" s="1">
        <f>D5-C5</f>
        <v>-3.2790834000000011</v>
      </c>
      <c r="F5" s="1">
        <f t="shared" si="1"/>
        <v>10.752387944155567</v>
      </c>
    </row>
    <row r="6" spans="1:9" x14ac:dyDescent="0.35">
      <c r="A6" s="2">
        <v>5</v>
      </c>
      <c r="B6" s="2">
        <v>4</v>
      </c>
      <c r="C6" s="2">
        <v>16</v>
      </c>
      <c r="D6" s="1">
        <f t="shared" si="0"/>
        <v>12.577279799999999</v>
      </c>
      <c r="E6" s="1">
        <f>D6-C6</f>
        <v>-3.4227202000000005</v>
      </c>
      <c r="F6" s="1">
        <f t="shared" si="1"/>
        <v>11.715013567488043</v>
      </c>
    </row>
    <row r="7" spans="1:9" x14ac:dyDescent="0.35">
      <c r="F7">
        <f>SUM(F2:F6)/5</f>
        <v>20.025752798400369</v>
      </c>
    </row>
    <row r="9" spans="1:9" x14ac:dyDescent="0.35">
      <c r="A9" s="7" t="s">
        <v>3</v>
      </c>
      <c r="B9" s="7"/>
      <c r="D9" s="5" t="s">
        <v>4</v>
      </c>
    </row>
    <row r="10" spans="1:9" x14ac:dyDescent="0.35">
      <c r="A10" s="2" t="s">
        <v>7</v>
      </c>
      <c r="B10" s="2" t="s">
        <v>1</v>
      </c>
      <c r="D10" s="1">
        <v>0.433643</v>
      </c>
      <c r="E10" t="s">
        <v>5</v>
      </c>
    </row>
    <row r="11" spans="1:9" x14ac:dyDescent="0.35">
      <c r="A11" s="2">
        <v>1</v>
      </c>
      <c r="B11" s="2">
        <v>2</v>
      </c>
      <c r="D11" s="1">
        <v>3.0359091999999999</v>
      </c>
      <c r="E11" t="s">
        <v>6</v>
      </c>
    </row>
    <row r="12" spans="1:9" x14ac:dyDescent="0.35">
      <c r="A12" s="2">
        <v>1</v>
      </c>
      <c r="B12" s="2">
        <v>10</v>
      </c>
    </row>
    <row r="13" spans="1:9" x14ac:dyDescent="0.35">
      <c r="A13" s="2">
        <v>1</v>
      </c>
      <c r="B13" s="2">
        <v>6</v>
      </c>
    </row>
    <row r="14" spans="1:9" x14ac:dyDescent="0.35">
      <c r="A14" s="2">
        <v>1</v>
      </c>
      <c r="B14" s="2">
        <v>8</v>
      </c>
    </row>
    <row r="15" spans="1:9" x14ac:dyDescent="0.35">
      <c r="A15" s="2">
        <v>1</v>
      </c>
      <c r="B15" s="2">
        <v>4</v>
      </c>
    </row>
    <row r="19" spans="1:11" x14ac:dyDescent="0.35">
      <c r="A19" s="8" t="s">
        <v>13</v>
      </c>
      <c r="B19" s="8"/>
      <c r="C19" s="6">
        <v>5</v>
      </c>
    </row>
    <row r="20" spans="1:11" x14ac:dyDescent="0.35">
      <c r="A20" s="8" t="s">
        <v>14</v>
      </c>
      <c r="B20" s="8"/>
      <c r="C20" s="6">
        <v>5.0000000000000001E-3</v>
      </c>
    </row>
    <row r="22" spans="1:11" x14ac:dyDescent="0.35">
      <c r="A22" s="7" t="s">
        <v>12</v>
      </c>
      <c r="B22" s="7"/>
      <c r="C22" s="7"/>
      <c r="D22" s="7"/>
      <c r="E22" s="7"/>
      <c r="G22" s="3" t="s">
        <v>10</v>
      </c>
      <c r="I22" s="5" t="s">
        <v>15</v>
      </c>
      <c r="K22" s="5" t="s">
        <v>16</v>
      </c>
    </row>
    <row r="23" spans="1:11" x14ac:dyDescent="0.35">
      <c r="A23" s="1" cm="1">
        <f t="array" ref="A23:E24">TRANSPOSE(A11:B15)</f>
        <v>1</v>
      </c>
      <c r="B23" s="1">
        <v>1</v>
      </c>
      <c r="C23" s="1">
        <v>1</v>
      </c>
      <c r="D23" s="1">
        <v>1</v>
      </c>
      <c r="E23" s="1">
        <v>1</v>
      </c>
      <c r="G23" s="1">
        <f>E2</f>
        <v>-4.4945386000000003</v>
      </c>
      <c r="I23" s="1">
        <f>((A23*$G$23)+(B23*$G$24)+(C23*$G$25)+(D23*$G$26)+(E23*$G$27))*2/5</f>
        <v>-8.7018036000000016</v>
      </c>
      <c r="K23" s="1">
        <f>D10-C20*I23</f>
        <v>0.47715201800000001</v>
      </c>
    </row>
    <row r="24" spans="1:11" x14ac:dyDescent="0.35">
      <c r="A24" s="1">
        <v>2</v>
      </c>
      <c r="B24" s="1">
        <v>10</v>
      </c>
      <c r="C24" s="1">
        <v>6</v>
      </c>
      <c r="D24" s="1">
        <v>8</v>
      </c>
      <c r="E24" s="1">
        <v>4</v>
      </c>
      <c r="G24" s="1">
        <f t="shared" ref="G24:G27" si="2">E3</f>
        <v>-6.2072650000000031</v>
      </c>
      <c r="I24" s="1">
        <f>((A24*$G$23)+(B24*$G$24)+(C24*$G$25)+(D24*$G$26)+(E24*$G$27))*2/5</f>
        <v>-54.836274400000015</v>
      </c>
      <c r="K24" s="1">
        <f>D11-C20*I24</f>
        <v>3.310090572</v>
      </c>
    </row>
    <row r="25" spans="1:11" x14ac:dyDescent="0.35">
      <c r="G25" s="1">
        <f t="shared" si="2"/>
        <v>-4.350901799999999</v>
      </c>
    </row>
    <row r="26" spans="1:11" x14ac:dyDescent="0.35">
      <c r="G26" s="1">
        <f t="shared" si="2"/>
        <v>-3.2790834000000011</v>
      </c>
    </row>
    <row r="27" spans="1:11" x14ac:dyDescent="0.35">
      <c r="G27" s="1">
        <f t="shared" si="2"/>
        <v>-3.4227202000000005</v>
      </c>
    </row>
  </sheetData>
  <mergeCells count="4">
    <mergeCell ref="A9:B9"/>
    <mergeCell ref="A19:B19"/>
    <mergeCell ref="A20:B20"/>
    <mergeCell ref="A22:E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4B54-8E63-4775-96DF-D1652D2E7DA4}">
  <dimension ref="A1:K27"/>
  <sheetViews>
    <sheetView tabSelected="1" topLeftCell="A8" zoomScale="114" zoomScaleNormal="81" workbookViewId="0">
      <selection activeCell="H20" sqref="H20"/>
    </sheetView>
  </sheetViews>
  <sheetFormatPr defaultRowHeight="14.5" x14ac:dyDescent="0.35"/>
  <cols>
    <col min="6" max="6" width="12.1796875" customWidth="1"/>
    <col min="11" max="11" width="19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I1" s="4" t="s">
        <v>8</v>
      </c>
    </row>
    <row r="2" spans="1:9" x14ac:dyDescent="0.35">
      <c r="A2" s="2">
        <v>1</v>
      </c>
      <c r="B2" s="2">
        <v>2</v>
      </c>
      <c r="C2" s="2">
        <v>11</v>
      </c>
      <c r="D2" s="1">
        <f>(A11*D$10)+(B11*D$11)</f>
        <v>7.097333162</v>
      </c>
      <c r="E2" s="1">
        <f>D2-C2</f>
        <v>-3.902666838</v>
      </c>
      <c r="F2" s="1">
        <f>E2*E2</f>
        <v>15.230808448424918</v>
      </c>
    </row>
    <row r="3" spans="1:9" x14ac:dyDescent="0.35">
      <c r="A3" s="2">
        <v>2</v>
      </c>
      <c r="B3" s="2">
        <v>10</v>
      </c>
      <c r="C3" s="2">
        <v>37</v>
      </c>
      <c r="D3" s="1">
        <f t="shared" ref="D3:D6" si="0">(A12*D$10)+(B12*D$11)</f>
        <v>33.578057737999998</v>
      </c>
      <c r="E3" s="1">
        <f>D3-C3</f>
        <v>-3.4219422620000017</v>
      </c>
      <c r="F3" s="1">
        <f t="shared" ref="F3:F6" si="1">E3*E3</f>
        <v>11.709688844461688</v>
      </c>
    </row>
    <row r="4" spans="1:9" x14ac:dyDescent="0.35">
      <c r="A4" s="2">
        <v>3</v>
      </c>
      <c r="B4" s="2">
        <v>6</v>
      </c>
      <c r="C4" s="2">
        <v>23</v>
      </c>
      <c r="D4" s="1">
        <f t="shared" si="0"/>
        <v>20.337695450000002</v>
      </c>
      <c r="E4" s="1">
        <f>D4-C4</f>
        <v>-2.6623045499999982</v>
      </c>
      <c r="F4" s="1">
        <f t="shared" si="1"/>
        <v>7.0878655169506928</v>
      </c>
    </row>
    <row r="5" spans="1:9" x14ac:dyDescent="0.35">
      <c r="A5" s="2">
        <v>4</v>
      </c>
      <c r="B5" s="2">
        <v>8</v>
      </c>
      <c r="C5" s="2">
        <v>28</v>
      </c>
      <c r="D5" s="1">
        <f t="shared" si="0"/>
        <v>26.957876594000002</v>
      </c>
      <c r="E5" s="1">
        <f>D5-C5</f>
        <v>-1.0421234059999982</v>
      </c>
      <c r="F5" s="1">
        <f t="shared" si="1"/>
        <v>1.086021193333037</v>
      </c>
    </row>
    <row r="6" spans="1:9" x14ac:dyDescent="0.35">
      <c r="A6" s="2">
        <v>5</v>
      </c>
      <c r="B6" s="2">
        <v>4</v>
      </c>
      <c r="C6" s="2">
        <v>16</v>
      </c>
      <c r="D6" s="1">
        <f t="shared" si="0"/>
        <v>13.717514306</v>
      </c>
      <c r="E6" s="1">
        <f>D6-C6</f>
        <v>-2.282485694</v>
      </c>
      <c r="F6" s="1">
        <f t="shared" si="1"/>
        <v>5.209740943314662</v>
      </c>
    </row>
    <row r="7" spans="1:9" x14ac:dyDescent="0.35">
      <c r="F7">
        <f>SUM(F2:F6)/5</f>
        <v>8.0648249892969996</v>
      </c>
    </row>
    <row r="9" spans="1:9" x14ac:dyDescent="0.35">
      <c r="A9" s="7" t="s">
        <v>3</v>
      </c>
      <c r="B9" s="7"/>
      <c r="D9" s="5" t="s">
        <v>4</v>
      </c>
    </row>
    <row r="10" spans="1:9" x14ac:dyDescent="0.35">
      <c r="A10" s="2" t="s">
        <v>7</v>
      </c>
      <c r="B10" s="2" t="s">
        <v>1</v>
      </c>
      <c r="D10" s="1">
        <v>0.47715201800000001</v>
      </c>
      <c r="E10" t="s">
        <v>5</v>
      </c>
    </row>
    <row r="11" spans="1:9" x14ac:dyDescent="0.35">
      <c r="A11" s="2">
        <v>1</v>
      </c>
      <c r="B11" s="2">
        <v>2</v>
      </c>
      <c r="D11" s="1">
        <v>3.310090572</v>
      </c>
      <c r="E11" t="s">
        <v>6</v>
      </c>
    </row>
    <row r="12" spans="1:9" x14ac:dyDescent="0.35">
      <c r="A12" s="2">
        <v>1</v>
      </c>
      <c r="B12" s="2">
        <v>10</v>
      </c>
    </row>
    <row r="13" spans="1:9" x14ac:dyDescent="0.35">
      <c r="A13" s="2">
        <v>1</v>
      </c>
      <c r="B13" s="2">
        <v>6</v>
      </c>
    </row>
    <row r="14" spans="1:9" x14ac:dyDescent="0.35">
      <c r="A14" s="2">
        <v>1</v>
      </c>
      <c r="B14" s="2">
        <v>8</v>
      </c>
    </row>
    <row r="15" spans="1:9" x14ac:dyDescent="0.35">
      <c r="A15" s="2">
        <v>1</v>
      </c>
      <c r="B15" s="2">
        <v>4</v>
      </c>
    </row>
    <row r="19" spans="1:11" x14ac:dyDescent="0.35">
      <c r="A19" s="8" t="s">
        <v>13</v>
      </c>
      <c r="B19" s="8"/>
      <c r="C19" s="6">
        <v>5</v>
      </c>
    </row>
    <row r="20" spans="1:11" x14ac:dyDescent="0.35">
      <c r="A20" s="8" t="s">
        <v>14</v>
      </c>
      <c r="B20" s="8"/>
      <c r="C20" s="6">
        <v>5.0000000000000001E-3</v>
      </c>
    </row>
    <row r="22" spans="1:11" x14ac:dyDescent="0.35">
      <c r="A22" s="7" t="s">
        <v>12</v>
      </c>
      <c r="B22" s="7"/>
      <c r="C22" s="7"/>
      <c r="D22" s="7"/>
      <c r="E22" s="7"/>
      <c r="G22" s="3" t="s">
        <v>10</v>
      </c>
      <c r="I22" s="5" t="s">
        <v>15</v>
      </c>
      <c r="K22" s="5" t="s">
        <v>16</v>
      </c>
    </row>
    <row r="23" spans="1:11" x14ac:dyDescent="0.35">
      <c r="A23" s="1" cm="1">
        <f t="array" ref="A23:E24">TRANSPOSE(A11:B15)</f>
        <v>1</v>
      </c>
      <c r="B23" s="1">
        <v>1</v>
      </c>
      <c r="C23" s="1">
        <v>1</v>
      </c>
      <c r="D23" s="1">
        <v>1</v>
      </c>
      <c r="E23" s="1">
        <v>1</v>
      </c>
      <c r="G23" s="1">
        <f>E2</f>
        <v>-3.902666838</v>
      </c>
      <c r="I23" s="1">
        <f>((A23*$G$23)+(B23*$G$24)+(C23*$G$25)+(D23*$G$26)+(E23*$G$27))*2/5</f>
        <v>-5.3246090999999991</v>
      </c>
      <c r="K23" s="1">
        <f>D10-C20*I23</f>
        <v>0.50377506350000001</v>
      </c>
    </row>
    <row r="24" spans="1:11" x14ac:dyDescent="0.35">
      <c r="A24" s="1">
        <v>2</v>
      </c>
      <c r="B24" s="1">
        <v>10</v>
      </c>
      <c r="C24" s="1">
        <v>6</v>
      </c>
      <c r="D24" s="1">
        <v>8</v>
      </c>
      <c r="E24" s="1">
        <v>4</v>
      </c>
      <c r="G24" s="1">
        <f t="shared" ref="G24:G27" si="2">E3</f>
        <v>-3.4219422620000017</v>
      </c>
      <c r="I24" s="1">
        <f>((A24*$G$23)+(B24*$G$24)+(C24*$G$25)+(D24*$G$26)+(E24*$G$27))*2/5</f>
        <v>-30.186205447999999</v>
      </c>
      <c r="K24" s="1">
        <f>D11-C20*I24</f>
        <v>3.46102159924</v>
      </c>
    </row>
    <row r="25" spans="1:11" x14ac:dyDescent="0.35">
      <c r="G25" s="1">
        <f t="shared" si="2"/>
        <v>-2.6623045499999982</v>
      </c>
    </row>
    <row r="26" spans="1:11" x14ac:dyDescent="0.35">
      <c r="G26" s="1">
        <f t="shared" si="2"/>
        <v>-1.0421234059999982</v>
      </c>
    </row>
    <row r="27" spans="1:11" x14ac:dyDescent="0.35">
      <c r="G27" s="1">
        <f t="shared" si="2"/>
        <v>-2.282485694</v>
      </c>
    </row>
  </sheetData>
  <mergeCells count="4">
    <mergeCell ref="A9:B9"/>
    <mergeCell ref="A19:B19"/>
    <mergeCell ref="A20:B20"/>
    <mergeCell ref="A22:E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Datos iniciales</vt:lpstr>
      <vt:lpstr>Iteración 1</vt:lpstr>
      <vt:lpstr>Iteración 2</vt:lpstr>
      <vt:lpstr>Iteración 3</vt:lpstr>
      <vt:lpstr>Iteración 4</vt:lpstr>
      <vt:lpstr>Iteración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Rigoberto Ortiz Perez</dc:creator>
  <cp:lastModifiedBy>Otto Rigoberto Ortiz Perez</cp:lastModifiedBy>
  <dcterms:created xsi:type="dcterms:W3CDTF">2026-03-21T16:46:19Z</dcterms:created>
  <dcterms:modified xsi:type="dcterms:W3CDTF">2026-04-11T19:10:53Z</dcterms:modified>
</cp:coreProperties>
</file>